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PycharmProjects\helloworld\Causal\WWTP\"/>
    </mc:Choice>
  </mc:AlternateContent>
  <xr:revisionPtr revIDLastSave="0" documentId="13_ncr:1_{03F24789-1015-463C-B3B8-4F6B5CE8382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各年省份均值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R4" i="1" s="1"/>
  <c r="Q5" i="1"/>
  <c r="Q6" i="1"/>
  <c r="R6" i="1" s="1"/>
  <c r="Q7" i="1"/>
  <c r="Q8" i="1"/>
  <c r="R8" i="1" s="1"/>
  <c r="Q9" i="1"/>
  <c r="R9" i="1" s="1"/>
  <c r="Q10" i="1"/>
  <c r="Q11" i="1"/>
  <c r="R11" i="1" s="1"/>
  <c r="Q12" i="1"/>
  <c r="Q13" i="1"/>
  <c r="Q14" i="1"/>
  <c r="Q15" i="1"/>
  <c r="Q16" i="1"/>
  <c r="Q17" i="1"/>
  <c r="Q18" i="1"/>
  <c r="Q19" i="1"/>
  <c r="R19" i="1" s="1"/>
  <c r="Q20" i="1"/>
  <c r="R20" i="1" s="1"/>
  <c r="Q21" i="1"/>
  <c r="R21" i="1" s="1"/>
  <c r="Q22" i="1"/>
  <c r="R22" i="1" s="1"/>
  <c r="Q23" i="1"/>
  <c r="R23" i="1" s="1"/>
  <c r="Q24" i="1"/>
  <c r="R24" i="1" s="1"/>
  <c r="Q25" i="1"/>
  <c r="Q26" i="1"/>
  <c r="R26" i="1" s="1"/>
  <c r="Q27" i="1"/>
  <c r="Q28" i="1"/>
  <c r="Q29" i="1"/>
  <c r="R29" i="1" s="1"/>
  <c r="Q30" i="1"/>
  <c r="Q31" i="1"/>
  <c r="R31" i="1" s="1"/>
  <c r="Q32" i="1"/>
  <c r="Q2" i="1"/>
  <c r="R2" i="1"/>
  <c r="V2" i="1"/>
  <c r="U2" i="1"/>
  <c r="T2" i="1"/>
  <c r="R32" i="1"/>
  <c r="R30" i="1"/>
  <c r="R28" i="1"/>
  <c r="R27" i="1"/>
  <c r="R25" i="1"/>
  <c r="R18" i="1"/>
  <c r="R17" i="1"/>
  <c r="R16" i="1"/>
  <c r="R15" i="1"/>
  <c r="R14" i="1"/>
  <c r="R13" i="1"/>
  <c r="R12" i="1"/>
  <c r="R10" i="1"/>
  <c r="R7" i="1"/>
  <c r="R5" i="1"/>
  <c r="R3" i="1"/>
  <c r="P2" i="1"/>
  <c r="E2" i="1"/>
  <c r="T32" i="1"/>
  <c r="P32" i="1"/>
  <c r="N32" i="1"/>
  <c r="K32" i="1"/>
  <c r="H32" i="1"/>
  <c r="E32" i="1"/>
  <c r="U32" i="1" s="1"/>
  <c r="T31" i="1"/>
  <c r="P31" i="1"/>
  <c r="N31" i="1"/>
  <c r="K31" i="1"/>
  <c r="H31" i="1"/>
  <c r="E31" i="1"/>
  <c r="U31" i="1" s="1"/>
  <c r="T30" i="1"/>
  <c r="P30" i="1"/>
  <c r="N30" i="1"/>
  <c r="K30" i="1"/>
  <c r="U30" i="1" s="1"/>
  <c r="H30" i="1"/>
  <c r="E30" i="1"/>
  <c r="T29" i="1"/>
  <c r="P29" i="1"/>
  <c r="N29" i="1"/>
  <c r="K29" i="1"/>
  <c r="H29" i="1"/>
  <c r="E29" i="1"/>
  <c r="U29" i="1" s="1"/>
  <c r="V29" i="1" s="1"/>
  <c r="T28" i="1"/>
  <c r="P28" i="1"/>
  <c r="N28" i="1"/>
  <c r="K28" i="1"/>
  <c r="U28" i="1" s="1"/>
  <c r="H28" i="1"/>
  <c r="E28" i="1"/>
  <c r="T27" i="1"/>
  <c r="P27" i="1"/>
  <c r="N27" i="1"/>
  <c r="K27" i="1"/>
  <c r="H27" i="1"/>
  <c r="E27" i="1"/>
  <c r="U27" i="1" s="1"/>
  <c r="T26" i="1"/>
  <c r="V26" i="1" s="1"/>
  <c r="P26" i="1"/>
  <c r="N26" i="1"/>
  <c r="K26" i="1"/>
  <c r="H26" i="1"/>
  <c r="E26" i="1"/>
  <c r="U26" i="1" s="1"/>
  <c r="T25" i="1"/>
  <c r="P25" i="1"/>
  <c r="N25" i="1"/>
  <c r="K25" i="1"/>
  <c r="U25" i="1" s="1"/>
  <c r="H25" i="1"/>
  <c r="E25" i="1"/>
  <c r="T24" i="1"/>
  <c r="P24" i="1"/>
  <c r="N24" i="1"/>
  <c r="K24" i="1"/>
  <c r="H24" i="1"/>
  <c r="E24" i="1"/>
  <c r="U24" i="1" s="1"/>
  <c r="U23" i="1"/>
  <c r="T23" i="1"/>
  <c r="V23" i="1" s="1"/>
  <c r="P23" i="1"/>
  <c r="N23" i="1"/>
  <c r="K23" i="1"/>
  <c r="H23" i="1"/>
  <c r="E23" i="1"/>
  <c r="T22" i="1"/>
  <c r="P22" i="1"/>
  <c r="N22" i="1"/>
  <c r="K22" i="1"/>
  <c r="H22" i="1"/>
  <c r="E22" i="1"/>
  <c r="U22" i="1" s="1"/>
  <c r="V22" i="1" s="1"/>
  <c r="T21" i="1"/>
  <c r="P21" i="1"/>
  <c r="N21" i="1"/>
  <c r="K21" i="1"/>
  <c r="H21" i="1"/>
  <c r="E21" i="1"/>
  <c r="U21" i="1" s="1"/>
  <c r="U20" i="1"/>
  <c r="T20" i="1"/>
  <c r="V20" i="1" s="1"/>
  <c r="P20" i="1"/>
  <c r="N20" i="1"/>
  <c r="K20" i="1"/>
  <c r="H20" i="1"/>
  <c r="E20" i="1"/>
  <c r="T19" i="1"/>
  <c r="P19" i="1"/>
  <c r="N19" i="1"/>
  <c r="K19" i="1"/>
  <c r="H19" i="1"/>
  <c r="E19" i="1"/>
  <c r="U19" i="1" s="1"/>
  <c r="T18" i="1"/>
  <c r="P18" i="1"/>
  <c r="N18" i="1"/>
  <c r="K18" i="1"/>
  <c r="U18" i="1" s="1"/>
  <c r="H18" i="1"/>
  <c r="E18" i="1"/>
  <c r="T17" i="1"/>
  <c r="P17" i="1"/>
  <c r="N17" i="1"/>
  <c r="K17" i="1"/>
  <c r="H17" i="1"/>
  <c r="E17" i="1"/>
  <c r="U17" i="1" s="1"/>
  <c r="T16" i="1"/>
  <c r="P16" i="1"/>
  <c r="N16" i="1"/>
  <c r="K16" i="1"/>
  <c r="H16" i="1"/>
  <c r="E16" i="1"/>
  <c r="U16" i="1" s="1"/>
  <c r="T15" i="1"/>
  <c r="P15" i="1"/>
  <c r="N15" i="1"/>
  <c r="K15" i="1"/>
  <c r="U15" i="1" s="1"/>
  <c r="H15" i="1"/>
  <c r="E15" i="1"/>
  <c r="T14" i="1"/>
  <c r="P14" i="1"/>
  <c r="N14" i="1"/>
  <c r="K14" i="1"/>
  <c r="H14" i="1"/>
  <c r="E14" i="1"/>
  <c r="T13" i="1"/>
  <c r="P13" i="1"/>
  <c r="N13" i="1"/>
  <c r="K13" i="1"/>
  <c r="U13" i="1" s="1"/>
  <c r="H13" i="1"/>
  <c r="E13" i="1"/>
  <c r="T12" i="1"/>
  <c r="P12" i="1"/>
  <c r="N12" i="1"/>
  <c r="K12" i="1"/>
  <c r="H12" i="1"/>
  <c r="E12" i="1"/>
  <c r="U12" i="1" s="1"/>
  <c r="V12" i="1" s="1"/>
  <c r="T11" i="1"/>
  <c r="P11" i="1"/>
  <c r="N11" i="1"/>
  <c r="K11" i="1"/>
  <c r="H11" i="1"/>
  <c r="E11" i="1"/>
  <c r="U10" i="1"/>
  <c r="T10" i="1"/>
  <c r="P10" i="1"/>
  <c r="N10" i="1"/>
  <c r="K10" i="1"/>
  <c r="H10" i="1"/>
  <c r="E10" i="1"/>
  <c r="T9" i="1"/>
  <c r="P9" i="1"/>
  <c r="N9" i="1"/>
  <c r="K9" i="1"/>
  <c r="H9" i="1"/>
  <c r="E9" i="1"/>
  <c r="U9" i="1" s="1"/>
  <c r="T8" i="1"/>
  <c r="P8" i="1"/>
  <c r="N8" i="1"/>
  <c r="K8" i="1"/>
  <c r="U8" i="1" s="1"/>
  <c r="H8" i="1"/>
  <c r="E8" i="1"/>
  <c r="T7" i="1"/>
  <c r="P7" i="1"/>
  <c r="N7" i="1"/>
  <c r="K7" i="1"/>
  <c r="H7" i="1"/>
  <c r="E7" i="1"/>
  <c r="U7" i="1" s="1"/>
  <c r="V7" i="1" s="1"/>
  <c r="T6" i="1"/>
  <c r="P6" i="1"/>
  <c r="N6" i="1"/>
  <c r="K6" i="1"/>
  <c r="H6" i="1"/>
  <c r="E6" i="1"/>
  <c r="U6" i="1" s="1"/>
  <c r="T5" i="1"/>
  <c r="P5" i="1"/>
  <c r="N5" i="1"/>
  <c r="K5" i="1"/>
  <c r="U5" i="1" s="1"/>
  <c r="H5" i="1"/>
  <c r="E5" i="1"/>
  <c r="T4" i="1"/>
  <c r="P4" i="1"/>
  <c r="N4" i="1"/>
  <c r="K4" i="1"/>
  <c r="H4" i="1"/>
  <c r="E4" i="1"/>
  <c r="U4" i="1" s="1"/>
  <c r="T3" i="1"/>
  <c r="P3" i="1"/>
  <c r="N3" i="1"/>
  <c r="K3" i="1"/>
  <c r="U3" i="1" s="1"/>
  <c r="H3" i="1"/>
  <c r="E3" i="1"/>
  <c r="N2" i="1"/>
  <c r="K2" i="1"/>
  <c r="H2" i="1"/>
  <c r="V18" i="1" l="1"/>
  <c r="V5" i="1"/>
  <c r="V15" i="1"/>
  <c r="V8" i="1"/>
  <c r="V3" i="1"/>
  <c r="V25" i="1"/>
  <c r="V13" i="1"/>
  <c r="V30" i="1"/>
  <c r="V10" i="1"/>
  <c r="V17" i="1"/>
  <c r="U14" i="1"/>
  <c r="V14" i="1" s="1"/>
  <c r="V28" i="1"/>
  <c r="U11" i="1"/>
  <c r="V11" i="1" s="1"/>
  <c r="V27" i="1"/>
  <c r="V24" i="1"/>
  <c r="V9" i="1"/>
  <c r="V31" i="1"/>
  <c r="V21" i="1"/>
  <c r="V6" i="1"/>
  <c r="V32" i="1"/>
  <c r="V19" i="1"/>
  <c r="V16" i="1"/>
  <c r="V4" i="1"/>
</calcChain>
</file>

<file path=xl/sharedStrings.xml><?xml version="1.0" encoding="utf-8"?>
<sst xmlns="http://schemas.openxmlformats.org/spreadsheetml/2006/main" count="58" uniqueCount="58">
  <si>
    <t>Province</t>
  </si>
  <si>
    <t>Treated_volume</t>
  </si>
  <si>
    <t>Sludge_yield</t>
  </si>
  <si>
    <t>COD_in</t>
  </si>
  <si>
    <t>COD_out</t>
  </si>
  <si>
    <t>COD_re</t>
  </si>
  <si>
    <t>NH4_in</t>
  </si>
  <si>
    <t>NH4_out</t>
  </si>
  <si>
    <t>NH4_re</t>
  </si>
  <si>
    <t>TN_in</t>
  </si>
  <si>
    <t>TN_out</t>
  </si>
  <si>
    <t>TN_re</t>
  </si>
  <si>
    <t>TP_in</t>
  </si>
  <si>
    <t>TP_out</t>
  </si>
  <si>
    <t>TP_re</t>
  </si>
  <si>
    <t>NH4_rl</t>
  </si>
  <si>
    <t>NO3_in</t>
  </si>
  <si>
    <t>NO3_out</t>
  </si>
  <si>
    <t>NO3_re</t>
  </si>
  <si>
    <t>CN_in</t>
  </si>
  <si>
    <t>CN_out</t>
  </si>
  <si>
    <t>Ratio_CN_inout</t>
  </si>
  <si>
    <t>Water_Temperature</t>
  </si>
  <si>
    <t>Depth</t>
  </si>
  <si>
    <t>HRT</t>
  </si>
  <si>
    <t>HLR</t>
  </si>
  <si>
    <t>Electricity consumption</t>
  </si>
  <si>
    <t>Anhui</t>
  </si>
  <si>
    <t>Beijing</t>
  </si>
  <si>
    <t>Chongqing</t>
  </si>
  <si>
    <t>Fujian</t>
  </si>
  <si>
    <t>Gansu</t>
  </si>
  <si>
    <t>Guangdong</t>
  </si>
  <si>
    <t>Guangxi</t>
  </si>
  <si>
    <t>Guizhou</t>
  </si>
  <si>
    <t>Hainan</t>
  </si>
  <si>
    <t>Hebei</t>
  </si>
  <si>
    <t>Heilongjiang</t>
  </si>
  <si>
    <t>Henan</t>
  </si>
  <si>
    <t>Hubei</t>
  </si>
  <si>
    <t>Hunan</t>
  </si>
  <si>
    <t>Inner Mongolia</t>
  </si>
  <si>
    <t>Jiangsu</t>
  </si>
  <si>
    <t>Jiangxi</t>
  </si>
  <si>
    <t>Jilin</t>
  </si>
  <si>
    <t>Liaoning</t>
  </si>
  <si>
    <t>Ningxia</t>
  </si>
  <si>
    <t>Qinghai</t>
  </si>
  <si>
    <t>Shaanxi</t>
  </si>
  <si>
    <t>Shandong</t>
  </si>
  <si>
    <t>Shanghai</t>
  </si>
  <si>
    <t>Shanxi</t>
  </si>
  <si>
    <t>Sichuan</t>
  </si>
  <si>
    <t>Tianjin</t>
  </si>
  <si>
    <t>Tibet</t>
  </si>
  <si>
    <t>Xinjiang</t>
  </si>
  <si>
    <t>Yunnan</t>
  </si>
  <si>
    <t>Zhejiang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</si>
</sst>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zoomScale="85" zoomScaleNormal="85" workbookViewId="0">
      <selection activeCell="M42" sqref="L42:M42"/>
    </sheetView>
  </sheetViews>
  <sheetFormatPr defaultColWidth="9" defaultRowHeight="14" x14ac:dyDescent="0.25"/>
  <cols>
    <col min="1" max="1" width="13.36328125" customWidth="1"/>
    <col min="2" max="2" width="14.90625" customWidth="1"/>
    <col min="3" max="3" width="14.08984375" customWidth="1"/>
    <col min="4" max="4" width="12.1796875" customWidth="1"/>
    <col min="5" max="6" width="13.26953125" customWidth="1"/>
    <col min="15" max="15" width="12.81640625"/>
    <col min="16" max="16" width="13.90625" customWidth="1"/>
    <col min="18" max="18" width="14"/>
    <col min="22" max="22" width="18.08984375" customWidth="1"/>
    <col min="27" max="27" width="20.3632812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4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3" t="s">
        <v>19</v>
      </c>
      <c r="U1" s="3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s="1" t="s">
        <v>26</v>
      </c>
    </row>
    <row r="2" spans="1:27" x14ac:dyDescent="0.25">
      <c r="A2" t="s">
        <v>27</v>
      </c>
      <c r="B2">
        <v>1701.9560839160799</v>
      </c>
      <c r="C2">
        <v>7826.9779020979004</v>
      </c>
      <c r="D2">
        <v>31.067486013985999</v>
      </c>
      <c r="E2">
        <f>(1-F2/100)*D2</f>
        <v>5.9183560856643327</v>
      </c>
      <c r="F2">
        <v>80.95</v>
      </c>
      <c r="G2">
        <v>8.4451355944055795</v>
      </c>
      <c r="H2">
        <f>(1-I2/100)*G2</f>
        <v>3.2851577462237707</v>
      </c>
      <c r="I2">
        <v>61.1</v>
      </c>
      <c r="J2">
        <v>12.8291185664336</v>
      </c>
      <c r="K2">
        <f>(1-L2/100)*J2</f>
        <v>5.882150862709806</v>
      </c>
      <c r="L2">
        <v>54.15</v>
      </c>
      <c r="M2">
        <v>0.55208492307692303</v>
      </c>
      <c r="N2">
        <f>(1-O2/100)*M2</f>
        <v>0.11174198843076917</v>
      </c>
      <c r="O2">
        <v>79.760000000000005</v>
      </c>
      <c r="P2">
        <f>J2*L2*Z2/100</f>
        <v>1389.3935407447589</v>
      </c>
      <c r="Q2">
        <f>J2-G2-2</f>
        <v>2.3839829720280203</v>
      </c>
      <c r="R2">
        <f>Q2*(1-0.01*S2)</f>
        <v>0.50921876282518519</v>
      </c>
      <c r="S2">
        <v>78.64</v>
      </c>
      <c r="T2">
        <f>D2/J2</f>
        <v>2.4216383887254485</v>
      </c>
      <c r="U2">
        <f>E2/K2</f>
        <v>1.0061550993504862</v>
      </c>
      <c r="V2">
        <f>T2/U2</f>
        <v>2.4068241469816272</v>
      </c>
      <c r="W2">
        <v>15.7278860076598</v>
      </c>
      <c r="X2">
        <v>1</v>
      </c>
      <c r="Y2">
        <v>4</v>
      </c>
      <c r="Z2">
        <v>200</v>
      </c>
      <c r="AA2">
        <v>0.29293706293706301</v>
      </c>
    </row>
    <row r="3" spans="1:27" x14ac:dyDescent="0.25">
      <c r="A3" t="s">
        <v>28</v>
      </c>
      <c r="B3">
        <v>3219.7452631578899</v>
      </c>
      <c r="C3">
        <v>31040.368421052601</v>
      </c>
      <c r="D3">
        <v>55.371131052631597</v>
      </c>
      <c r="E3">
        <f t="shared" ref="E3:E32" si="0">(1-F3/100)*D3</f>
        <v>10.548200465526319</v>
      </c>
      <c r="F3">
        <v>80.95</v>
      </c>
      <c r="G3">
        <v>13.0540892982456</v>
      </c>
      <c r="H3">
        <f t="shared" ref="H3:H32" si="1">(1-I3/100)*G3</f>
        <v>5.0780407370175382</v>
      </c>
      <c r="I3">
        <v>61.1</v>
      </c>
      <c r="J3">
        <v>20.069510263157898</v>
      </c>
      <c r="K3">
        <f t="shared" ref="K3:K32" si="2">(1-L3/100)*J3</f>
        <v>9.2018704556578967</v>
      </c>
      <c r="L3">
        <v>54.15</v>
      </c>
      <c r="M3">
        <v>0.95696140350877201</v>
      </c>
      <c r="N3">
        <f t="shared" ref="N3:N32" si="3">(1-O3/100)*M3</f>
        <v>0.19368898807017537</v>
      </c>
      <c r="O3">
        <v>79.760000000000005</v>
      </c>
      <c r="P3">
        <f t="shared" ref="P3:P32" si="4">J3*L3*Z3/100</f>
        <v>2173.5279615000004</v>
      </c>
      <c r="Q3">
        <f t="shared" ref="Q3:Q32" si="5">J3-G3-2</f>
        <v>5.0154209649122983</v>
      </c>
      <c r="R3">
        <f t="shared" ref="R3:R32" si="6">Q3*(1-0.01*S3)</f>
        <v>1.071293918105267</v>
      </c>
      <c r="S3">
        <v>78.64</v>
      </c>
      <c r="T3">
        <f>D3/J3</f>
        <v>2.7589677240045947</v>
      </c>
      <c r="U3">
        <f t="shared" ref="U3:U32" si="7">E3/K3</f>
        <v>1.1463104720237192</v>
      </c>
      <c r="V3">
        <f t="shared" ref="V3:V32" si="8">T3/U3</f>
        <v>2.4068241469816276</v>
      </c>
      <c r="W3">
        <v>11.87879260661</v>
      </c>
      <c r="X3">
        <v>1</v>
      </c>
      <c r="Y3">
        <v>4</v>
      </c>
      <c r="Z3">
        <v>200</v>
      </c>
      <c r="AA3">
        <v>0.92824561403508798</v>
      </c>
    </row>
    <row r="4" spans="1:27" x14ac:dyDescent="0.25">
      <c r="A4" t="s">
        <v>29</v>
      </c>
      <c r="B4">
        <v>754.17014285714299</v>
      </c>
      <c r="C4">
        <v>5588.86414285714</v>
      </c>
      <c r="D4">
        <v>38.941411285714302</v>
      </c>
      <c r="E4">
        <f t="shared" si="0"/>
        <v>7.418338849928575</v>
      </c>
      <c r="F4">
        <v>80.95</v>
      </c>
      <c r="G4">
        <v>11.392253999999999</v>
      </c>
      <c r="H4">
        <f t="shared" si="1"/>
        <v>4.4315868060000003</v>
      </c>
      <c r="I4">
        <v>61.1</v>
      </c>
      <c r="J4">
        <v>16.997381000000001</v>
      </c>
      <c r="K4">
        <f t="shared" si="2"/>
        <v>7.7932991885000007</v>
      </c>
      <c r="L4">
        <v>54.15</v>
      </c>
      <c r="M4">
        <v>0.70617359999999996</v>
      </c>
      <c r="N4">
        <f t="shared" si="3"/>
        <v>0.14292953663999994</v>
      </c>
      <c r="O4">
        <v>79.760000000000005</v>
      </c>
      <c r="P4">
        <f t="shared" si="4"/>
        <v>1840.8163623</v>
      </c>
      <c r="Q4">
        <f t="shared" si="5"/>
        <v>3.6051270000000013</v>
      </c>
      <c r="R4">
        <f t="shared" si="6"/>
        <v>0.77005512720000036</v>
      </c>
      <c r="S4">
        <v>78.64</v>
      </c>
      <c r="T4">
        <f t="shared" ref="T4:T32" si="9">D4/J4</f>
        <v>2.2910242045944784</v>
      </c>
      <c r="U4">
        <f t="shared" si="7"/>
        <v>0.95188682873554664</v>
      </c>
      <c r="V4">
        <f t="shared" si="8"/>
        <v>2.4068241469816272</v>
      </c>
      <c r="W4">
        <v>16.266750351881399</v>
      </c>
      <c r="X4">
        <v>1</v>
      </c>
      <c r="Y4">
        <v>4</v>
      </c>
      <c r="Z4">
        <v>200</v>
      </c>
      <c r="AA4">
        <v>0.78071428571428603</v>
      </c>
    </row>
    <row r="5" spans="1:27" x14ac:dyDescent="0.25">
      <c r="A5" t="s">
        <v>30</v>
      </c>
      <c r="B5">
        <v>1415.9381512605</v>
      </c>
      <c r="C5">
        <v>6473.13453781513</v>
      </c>
      <c r="D5">
        <v>32.594133781512497</v>
      </c>
      <c r="E5">
        <f t="shared" si="0"/>
        <v>6.2091824853781308</v>
      </c>
      <c r="F5">
        <v>80.95</v>
      </c>
      <c r="G5">
        <v>7.6728125210084004</v>
      </c>
      <c r="H5">
        <f t="shared" si="1"/>
        <v>2.984724070672268</v>
      </c>
      <c r="I5">
        <v>61.1</v>
      </c>
      <c r="J5">
        <v>12.296661764705901</v>
      </c>
      <c r="K5">
        <f t="shared" si="2"/>
        <v>5.638019419117656</v>
      </c>
      <c r="L5">
        <v>54.15</v>
      </c>
      <c r="M5">
        <v>0.54789169747899202</v>
      </c>
      <c r="N5">
        <f t="shared" si="3"/>
        <v>0.11089327956974794</v>
      </c>
      <c r="O5">
        <v>79.760000000000005</v>
      </c>
      <c r="P5">
        <f t="shared" si="4"/>
        <v>1331.7284691176492</v>
      </c>
      <c r="Q5">
        <f t="shared" si="5"/>
        <v>2.6238492436975003</v>
      </c>
      <c r="R5">
        <f t="shared" si="6"/>
        <v>0.56045419845378608</v>
      </c>
      <c r="S5">
        <v>78.64</v>
      </c>
      <c r="T5">
        <f t="shared" si="9"/>
        <v>2.6506489651577443</v>
      </c>
      <c r="U5">
        <f t="shared" si="7"/>
        <v>1.1013056223828794</v>
      </c>
      <c r="V5">
        <f t="shared" si="8"/>
        <v>2.4068241469816276</v>
      </c>
      <c r="W5">
        <v>18.690587977998199</v>
      </c>
      <c r="X5">
        <v>1</v>
      </c>
      <c r="Y5">
        <v>4</v>
      </c>
      <c r="Z5">
        <v>200</v>
      </c>
      <c r="AA5">
        <v>0.33630252100840302</v>
      </c>
    </row>
    <row r="6" spans="1:27" x14ac:dyDescent="0.25">
      <c r="A6" t="s">
        <v>31</v>
      </c>
      <c r="B6">
        <v>707.14894736842098</v>
      </c>
      <c r="C6">
        <v>6475.0907368421003</v>
      </c>
      <c r="D6">
        <v>51.110388</v>
      </c>
      <c r="E6">
        <f t="shared" si="0"/>
        <v>9.7365289140000009</v>
      </c>
      <c r="F6">
        <v>80.95</v>
      </c>
      <c r="G6">
        <v>11.923832736842099</v>
      </c>
      <c r="H6">
        <f t="shared" si="1"/>
        <v>4.6383709346315767</v>
      </c>
      <c r="I6">
        <v>61.1</v>
      </c>
      <c r="J6">
        <v>17.8410554736842</v>
      </c>
      <c r="K6">
        <f t="shared" si="2"/>
        <v>8.1801239346842056</v>
      </c>
      <c r="L6">
        <v>54.15</v>
      </c>
      <c r="M6">
        <v>0.84328362105263099</v>
      </c>
      <c r="N6">
        <f t="shared" si="3"/>
        <v>0.17068060490105244</v>
      </c>
      <c r="O6">
        <v>79.760000000000005</v>
      </c>
      <c r="P6">
        <f t="shared" si="4"/>
        <v>1932.186307799999</v>
      </c>
      <c r="Q6">
        <f t="shared" si="5"/>
        <v>3.9172227368421009</v>
      </c>
      <c r="R6">
        <f t="shared" si="6"/>
        <v>0.8367187765894728</v>
      </c>
      <c r="S6">
        <v>78.64</v>
      </c>
      <c r="T6">
        <f t="shared" si="9"/>
        <v>2.8647625739064888</v>
      </c>
      <c r="U6">
        <f t="shared" si="7"/>
        <v>1.1902666746547135</v>
      </c>
      <c r="V6">
        <f t="shared" si="8"/>
        <v>2.4068241469816272</v>
      </c>
      <c r="W6">
        <v>9.4009532842078105</v>
      </c>
      <c r="X6">
        <v>1</v>
      </c>
      <c r="Y6">
        <v>4</v>
      </c>
      <c r="Z6">
        <v>200</v>
      </c>
      <c r="AA6">
        <v>0.65021052631578902</v>
      </c>
    </row>
    <row r="7" spans="1:27" x14ac:dyDescent="0.25">
      <c r="A7" t="s">
        <v>32</v>
      </c>
      <c r="B7">
        <v>1329.90275563258</v>
      </c>
      <c r="C7">
        <v>5338.2763604852698</v>
      </c>
      <c r="D7">
        <v>28.035112435008699</v>
      </c>
      <c r="E7">
        <f t="shared" si="0"/>
        <v>5.3406889188691569</v>
      </c>
      <c r="F7">
        <v>80.95</v>
      </c>
      <c r="G7">
        <v>6.35286214904679</v>
      </c>
      <c r="H7">
        <f t="shared" si="1"/>
        <v>2.4712633759792015</v>
      </c>
      <c r="I7">
        <v>61.1</v>
      </c>
      <c r="J7">
        <v>10.559255</v>
      </c>
      <c r="K7">
        <f t="shared" si="2"/>
        <v>4.8414184174999999</v>
      </c>
      <c r="L7">
        <v>54.15</v>
      </c>
      <c r="M7">
        <v>0.56769867590987799</v>
      </c>
      <c r="N7">
        <f t="shared" si="3"/>
        <v>0.11490221200415926</v>
      </c>
      <c r="O7">
        <v>79.760000000000005</v>
      </c>
      <c r="P7">
        <f t="shared" si="4"/>
        <v>1143.5673165000001</v>
      </c>
      <c r="Q7">
        <f t="shared" si="5"/>
        <v>2.2063928509532102</v>
      </c>
      <c r="R7">
        <f t="shared" si="6"/>
        <v>0.47128551296360571</v>
      </c>
      <c r="S7">
        <v>78.64</v>
      </c>
      <c r="T7">
        <f t="shared" si="9"/>
        <v>2.6550275028881014</v>
      </c>
      <c r="U7">
        <f t="shared" si="7"/>
        <v>1.1031248403493639</v>
      </c>
      <c r="V7">
        <f t="shared" si="8"/>
        <v>2.4068241469816272</v>
      </c>
      <c r="W7">
        <v>20.945436771367302</v>
      </c>
      <c r="X7">
        <v>1</v>
      </c>
      <c r="Y7">
        <v>4</v>
      </c>
      <c r="Z7">
        <v>200</v>
      </c>
      <c r="AA7">
        <v>0.29433275563258199</v>
      </c>
    </row>
    <row r="8" spans="1:27" x14ac:dyDescent="0.25">
      <c r="A8" t="s">
        <v>33</v>
      </c>
      <c r="B8">
        <v>1462.37910714286</v>
      </c>
      <c r="C8">
        <v>8985.2011607142904</v>
      </c>
      <c r="D8">
        <v>32.333752098214298</v>
      </c>
      <c r="E8">
        <f t="shared" si="0"/>
        <v>6.1595797747098242</v>
      </c>
      <c r="F8">
        <v>80.95</v>
      </c>
      <c r="G8">
        <v>7.0944222321428603</v>
      </c>
      <c r="H8">
        <f t="shared" si="1"/>
        <v>2.7597302483035726</v>
      </c>
      <c r="I8">
        <v>61.1</v>
      </c>
      <c r="J8">
        <v>12.238388437499999</v>
      </c>
      <c r="K8">
        <f t="shared" si="2"/>
        <v>5.6113010985937501</v>
      </c>
      <c r="L8">
        <v>54.15</v>
      </c>
      <c r="M8">
        <v>0.60317007142857204</v>
      </c>
      <c r="N8">
        <f t="shared" si="3"/>
        <v>0.12208162245714294</v>
      </c>
      <c r="O8">
        <v>79.760000000000005</v>
      </c>
      <c r="P8">
        <f t="shared" si="4"/>
        <v>1325.4174677812498</v>
      </c>
      <c r="Q8">
        <f t="shared" si="5"/>
        <v>3.1439662053571391</v>
      </c>
      <c r="R8">
        <f t="shared" si="6"/>
        <v>0.67155118146428494</v>
      </c>
      <c r="S8">
        <v>78.64</v>
      </c>
      <c r="T8">
        <f t="shared" si="9"/>
        <v>2.6419942677370423</v>
      </c>
      <c r="U8">
        <f t="shared" si="7"/>
        <v>1.097709723018335</v>
      </c>
      <c r="V8">
        <f t="shared" si="8"/>
        <v>2.4068241469816272</v>
      </c>
      <c r="W8">
        <v>18.961565496329801</v>
      </c>
      <c r="X8">
        <v>1</v>
      </c>
      <c r="Y8">
        <v>4</v>
      </c>
      <c r="Z8">
        <v>200</v>
      </c>
      <c r="AA8">
        <v>0.42053571428571401</v>
      </c>
    </row>
    <row r="9" spans="1:27" x14ac:dyDescent="0.25">
      <c r="A9" t="s">
        <v>34</v>
      </c>
      <c r="B9">
        <v>333.37746543778798</v>
      </c>
      <c r="C9">
        <v>1459.90963133641</v>
      </c>
      <c r="D9">
        <v>31.5234352188941</v>
      </c>
      <c r="E9">
        <f t="shared" si="0"/>
        <v>6.0052144091993265</v>
      </c>
      <c r="F9">
        <v>80.95</v>
      </c>
      <c r="G9">
        <v>8.9282222350230498</v>
      </c>
      <c r="H9">
        <f t="shared" si="1"/>
        <v>3.4730784494239666</v>
      </c>
      <c r="I9">
        <v>61.1</v>
      </c>
      <c r="J9">
        <v>12.9772086290322</v>
      </c>
      <c r="K9">
        <f t="shared" si="2"/>
        <v>5.9500501564112636</v>
      </c>
      <c r="L9">
        <v>54.15</v>
      </c>
      <c r="M9">
        <v>0.51196007373271801</v>
      </c>
      <c r="N9">
        <f t="shared" si="3"/>
        <v>0.10362071892350208</v>
      </c>
      <c r="O9">
        <v>79.760000000000005</v>
      </c>
      <c r="P9">
        <f t="shared" si="4"/>
        <v>1405.4316945241872</v>
      </c>
      <c r="Q9">
        <f t="shared" si="5"/>
        <v>2.0489863940091499</v>
      </c>
      <c r="R9">
        <f t="shared" si="6"/>
        <v>0.43766349376035446</v>
      </c>
      <c r="S9">
        <v>78.64</v>
      </c>
      <c r="T9">
        <f t="shared" si="9"/>
        <v>2.4291383547900178</v>
      </c>
      <c r="U9">
        <f t="shared" si="7"/>
        <v>1.0092712248364197</v>
      </c>
      <c r="V9">
        <f t="shared" si="8"/>
        <v>2.4068241469816272</v>
      </c>
      <c r="W9">
        <v>15.747303731499199</v>
      </c>
      <c r="X9">
        <v>1</v>
      </c>
      <c r="Y9">
        <v>4</v>
      </c>
      <c r="Z9">
        <v>200</v>
      </c>
      <c r="AA9">
        <v>0.51594470046082996</v>
      </c>
    </row>
    <row r="10" spans="1:27" x14ac:dyDescent="0.25">
      <c r="A10" t="s">
        <v>35</v>
      </c>
      <c r="B10">
        <v>1653.1826086956501</v>
      </c>
      <c r="C10">
        <v>13019.677173913</v>
      </c>
      <c r="D10">
        <v>51.157242717391298</v>
      </c>
      <c r="E10">
        <f t="shared" si="0"/>
        <v>9.7454547376630423</v>
      </c>
      <c r="F10">
        <v>80.95</v>
      </c>
      <c r="G10">
        <v>9.7063110869565108</v>
      </c>
      <c r="H10">
        <f t="shared" si="1"/>
        <v>3.7757550128260826</v>
      </c>
      <c r="I10">
        <v>61.1</v>
      </c>
      <c r="J10">
        <v>16.0534804347826</v>
      </c>
      <c r="K10">
        <f t="shared" si="2"/>
        <v>7.360520779347822</v>
      </c>
      <c r="L10">
        <v>54.15</v>
      </c>
      <c r="M10">
        <v>0.78693999999999997</v>
      </c>
      <c r="N10">
        <f t="shared" si="3"/>
        <v>0.15927665599999993</v>
      </c>
      <c r="O10">
        <v>79.760000000000005</v>
      </c>
      <c r="P10">
        <f t="shared" si="4"/>
        <v>1738.5919310869556</v>
      </c>
      <c r="Q10">
        <f t="shared" si="5"/>
        <v>4.3471693478260889</v>
      </c>
      <c r="R10">
        <f t="shared" si="6"/>
        <v>0.92855537269565269</v>
      </c>
      <c r="S10">
        <v>78.64</v>
      </c>
      <c r="T10">
        <f t="shared" si="9"/>
        <v>3.1866761183170236</v>
      </c>
      <c r="U10">
        <f t="shared" si="7"/>
        <v>1.3240170131720677</v>
      </c>
      <c r="V10">
        <f t="shared" si="8"/>
        <v>2.4068241469816272</v>
      </c>
      <c r="W10">
        <v>22.167698789722898</v>
      </c>
      <c r="X10">
        <v>1</v>
      </c>
      <c r="Y10">
        <v>4</v>
      </c>
      <c r="Z10">
        <v>200</v>
      </c>
      <c r="AA10">
        <v>0.47152173913043499</v>
      </c>
    </row>
    <row r="11" spans="1:27" x14ac:dyDescent="0.25">
      <c r="A11" t="s">
        <v>36</v>
      </c>
      <c r="B11">
        <v>1214.8194247787601</v>
      </c>
      <c r="C11">
        <v>9241.3842035398193</v>
      </c>
      <c r="D11">
        <v>50.995990221238998</v>
      </c>
      <c r="E11">
        <f t="shared" si="0"/>
        <v>9.7147361371460299</v>
      </c>
      <c r="F11">
        <v>80.95</v>
      </c>
      <c r="G11">
        <v>12.1301388053097</v>
      </c>
      <c r="H11">
        <f t="shared" si="1"/>
        <v>4.7186239952654736</v>
      </c>
      <c r="I11">
        <v>61.1</v>
      </c>
      <c r="J11">
        <v>19.103727101769898</v>
      </c>
      <c r="K11">
        <f t="shared" si="2"/>
        <v>8.7590588761614985</v>
      </c>
      <c r="L11">
        <v>54.15</v>
      </c>
      <c r="M11">
        <v>0.84200191150442405</v>
      </c>
      <c r="N11">
        <f t="shared" si="3"/>
        <v>0.17042118688849536</v>
      </c>
      <c r="O11">
        <v>79.760000000000005</v>
      </c>
      <c r="P11">
        <f t="shared" si="4"/>
        <v>2068.93364512168</v>
      </c>
      <c r="Q11">
        <f t="shared" si="5"/>
        <v>4.9735882964601981</v>
      </c>
      <c r="R11">
        <f t="shared" si="6"/>
        <v>1.0623584601238985</v>
      </c>
      <c r="S11">
        <v>78.64</v>
      </c>
      <c r="T11">
        <f t="shared" si="9"/>
        <v>2.6694262302623861</v>
      </c>
      <c r="U11">
        <f t="shared" si="7"/>
        <v>1.1091072995964768</v>
      </c>
      <c r="V11">
        <f t="shared" si="8"/>
        <v>2.4068241469816272</v>
      </c>
      <c r="W11">
        <v>12.1809882118771</v>
      </c>
      <c r="X11">
        <v>1</v>
      </c>
      <c r="Y11">
        <v>4</v>
      </c>
      <c r="Z11">
        <v>200</v>
      </c>
      <c r="AA11">
        <v>0.46907079646017702</v>
      </c>
    </row>
    <row r="12" spans="1:27" x14ac:dyDescent="0.25">
      <c r="A12" t="s">
        <v>37</v>
      </c>
      <c r="B12">
        <v>906.40377049180302</v>
      </c>
      <c r="C12">
        <v>5405.5369672131101</v>
      </c>
      <c r="D12">
        <v>52.286160245901598</v>
      </c>
      <c r="E12">
        <f t="shared" si="0"/>
        <v>9.9605135268442542</v>
      </c>
      <c r="F12">
        <v>80.95</v>
      </c>
      <c r="G12">
        <v>12.3301840163934</v>
      </c>
      <c r="H12">
        <f t="shared" si="1"/>
        <v>4.7964415823770326</v>
      </c>
      <c r="I12">
        <v>61.1</v>
      </c>
      <c r="J12">
        <v>18.060502909836099</v>
      </c>
      <c r="K12">
        <f t="shared" si="2"/>
        <v>8.2807405841598527</v>
      </c>
      <c r="L12">
        <v>54.15</v>
      </c>
      <c r="M12">
        <v>0.86884347540983597</v>
      </c>
      <c r="N12">
        <f t="shared" si="3"/>
        <v>0.17585391942295073</v>
      </c>
      <c r="O12">
        <v>79.760000000000005</v>
      </c>
      <c r="P12">
        <f t="shared" si="4"/>
        <v>1955.9524651352494</v>
      </c>
      <c r="Q12">
        <f t="shared" si="5"/>
        <v>3.7303188934426998</v>
      </c>
      <c r="R12">
        <f t="shared" si="6"/>
        <v>0.7967961156393607</v>
      </c>
      <c r="S12">
        <v>78.64</v>
      </c>
      <c r="T12">
        <f t="shared" si="9"/>
        <v>2.8950556087463957</v>
      </c>
      <c r="U12">
        <f t="shared" si="7"/>
        <v>1.2028529846590803</v>
      </c>
      <c r="V12">
        <f t="shared" si="8"/>
        <v>2.4068241469816276</v>
      </c>
      <c r="W12">
        <v>5.8895285888708004</v>
      </c>
      <c r="X12">
        <v>1</v>
      </c>
      <c r="Y12">
        <v>4</v>
      </c>
      <c r="Z12">
        <v>200</v>
      </c>
      <c r="AA12">
        <v>0.37295081967213101</v>
      </c>
    </row>
    <row r="13" spans="1:27" x14ac:dyDescent="0.25">
      <c r="A13" t="s">
        <v>38</v>
      </c>
      <c r="B13">
        <v>1624.3692561983501</v>
      </c>
      <c r="C13">
        <v>8221.7948760330601</v>
      </c>
      <c r="D13">
        <v>39.075714235537099</v>
      </c>
      <c r="E13">
        <f t="shared" si="0"/>
        <v>7.4439235618698172</v>
      </c>
      <c r="F13">
        <v>80.95</v>
      </c>
      <c r="G13">
        <v>9.7734160330578703</v>
      </c>
      <c r="H13">
        <f t="shared" si="1"/>
        <v>3.8018588368595116</v>
      </c>
      <c r="I13">
        <v>61.1</v>
      </c>
      <c r="J13">
        <v>15.1271465082645</v>
      </c>
      <c r="K13">
        <f t="shared" si="2"/>
        <v>6.935796674039274</v>
      </c>
      <c r="L13">
        <v>54.15</v>
      </c>
      <c r="M13">
        <v>0.62861927272727203</v>
      </c>
      <c r="N13">
        <f t="shared" si="3"/>
        <v>0.12723254079999979</v>
      </c>
      <c r="O13">
        <v>79.760000000000005</v>
      </c>
      <c r="P13">
        <f t="shared" si="4"/>
        <v>1638.2699668450452</v>
      </c>
      <c r="Q13">
        <f t="shared" si="5"/>
        <v>3.3537304752066301</v>
      </c>
      <c r="R13">
        <f t="shared" si="6"/>
        <v>0.71635682950413626</v>
      </c>
      <c r="S13">
        <v>78.64</v>
      </c>
      <c r="T13">
        <f t="shared" si="9"/>
        <v>2.5831517010950242</v>
      </c>
      <c r="U13">
        <f t="shared" si="7"/>
        <v>1.0732615028540939</v>
      </c>
      <c r="V13">
        <f t="shared" si="8"/>
        <v>2.4068241469816276</v>
      </c>
      <c r="W13">
        <v>14.742794693690101</v>
      </c>
      <c r="X13">
        <v>1</v>
      </c>
      <c r="Y13">
        <v>4</v>
      </c>
      <c r="Z13">
        <v>200</v>
      </c>
      <c r="AA13">
        <v>0.36070247933884297</v>
      </c>
    </row>
    <row r="14" spans="1:27" x14ac:dyDescent="0.25">
      <c r="A14" t="s">
        <v>39</v>
      </c>
      <c r="B14">
        <v>1814.51285714286</v>
      </c>
      <c r="C14">
        <v>7155.0284285714297</v>
      </c>
      <c r="D14">
        <v>32.104352678571502</v>
      </c>
      <c r="E14">
        <f t="shared" si="0"/>
        <v>6.1158791852678709</v>
      </c>
      <c r="F14">
        <v>80.95</v>
      </c>
      <c r="G14">
        <v>6.1338909285714101</v>
      </c>
      <c r="H14">
        <f t="shared" si="1"/>
        <v>2.3860835712142787</v>
      </c>
      <c r="I14">
        <v>61.1</v>
      </c>
      <c r="J14">
        <v>10.650791249999999</v>
      </c>
      <c r="K14">
        <f t="shared" si="2"/>
        <v>4.8833877881249999</v>
      </c>
      <c r="L14">
        <v>54.15</v>
      </c>
      <c r="M14">
        <v>0.470493257142857</v>
      </c>
      <c r="N14">
        <f t="shared" si="3"/>
        <v>9.522783524571421E-2</v>
      </c>
      <c r="O14">
        <v>79.760000000000005</v>
      </c>
      <c r="P14">
        <f t="shared" si="4"/>
        <v>1153.480692375</v>
      </c>
      <c r="Q14">
        <f t="shared" si="5"/>
        <v>2.5169003214285892</v>
      </c>
      <c r="R14">
        <f t="shared" si="6"/>
        <v>0.53760990865714664</v>
      </c>
      <c r="S14">
        <v>78.64</v>
      </c>
      <c r="T14">
        <f t="shared" si="9"/>
        <v>3.0142692617857385</v>
      </c>
      <c r="U14">
        <f t="shared" si="7"/>
        <v>1.2523845024431475</v>
      </c>
      <c r="V14">
        <f t="shared" si="8"/>
        <v>2.4068241469816276</v>
      </c>
      <c r="W14">
        <v>16.090810881880401</v>
      </c>
      <c r="X14">
        <v>1</v>
      </c>
      <c r="Y14">
        <v>4</v>
      </c>
      <c r="Z14">
        <v>200</v>
      </c>
      <c r="AA14">
        <v>0.28928571428571398</v>
      </c>
    </row>
    <row r="15" spans="1:27" x14ac:dyDescent="0.25">
      <c r="A15" t="s">
        <v>40</v>
      </c>
      <c r="B15">
        <v>2108.9587640449399</v>
      </c>
      <c r="C15">
        <v>6615.1412921348301</v>
      </c>
      <c r="D15">
        <v>30.039923595505499</v>
      </c>
      <c r="E15">
        <f t="shared" si="0"/>
        <v>5.722605444943798</v>
      </c>
      <c r="F15">
        <v>80.95</v>
      </c>
      <c r="G15">
        <v>5.9865570224719002</v>
      </c>
      <c r="H15">
        <f t="shared" si="1"/>
        <v>2.3287706817415694</v>
      </c>
      <c r="I15">
        <v>61.1</v>
      </c>
      <c r="J15">
        <v>10.168757247190999</v>
      </c>
      <c r="K15">
        <f t="shared" si="2"/>
        <v>4.6623751978370738</v>
      </c>
      <c r="L15">
        <v>54.15</v>
      </c>
      <c r="M15">
        <v>0.52243078651685404</v>
      </c>
      <c r="N15">
        <f t="shared" si="3"/>
        <v>0.10573999119101121</v>
      </c>
      <c r="O15">
        <v>79.760000000000005</v>
      </c>
      <c r="P15">
        <f t="shared" si="4"/>
        <v>1101.2764098707853</v>
      </c>
      <c r="Q15">
        <f t="shared" si="5"/>
        <v>2.1822002247190992</v>
      </c>
      <c r="R15">
        <f t="shared" si="6"/>
        <v>0.46611796799999961</v>
      </c>
      <c r="S15">
        <v>78.64</v>
      </c>
      <c r="T15">
        <f t="shared" si="9"/>
        <v>2.9541391209632502</v>
      </c>
      <c r="U15">
        <f t="shared" si="7"/>
        <v>1.2274013141624844</v>
      </c>
      <c r="V15">
        <f t="shared" si="8"/>
        <v>2.4068241469816276</v>
      </c>
      <c r="W15">
        <v>16.9133527115623</v>
      </c>
      <c r="X15">
        <v>1</v>
      </c>
      <c r="Y15">
        <v>4</v>
      </c>
      <c r="Z15">
        <v>200</v>
      </c>
      <c r="AA15">
        <v>0.286067415730337</v>
      </c>
    </row>
    <row r="16" spans="1:27" x14ac:dyDescent="0.25">
      <c r="A16" t="s">
        <v>41</v>
      </c>
      <c r="B16">
        <v>883.92873873873896</v>
      </c>
      <c r="C16">
        <v>6486.8940540540498</v>
      </c>
      <c r="D16">
        <v>73.717115675675601</v>
      </c>
      <c r="E16">
        <f t="shared" si="0"/>
        <v>14.043110536216203</v>
      </c>
      <c r="F16">
        <v>80.95</v>
      </c>
      <c r="G16">
        <v>17.916428828828799</v>
      </c>
      <c r="H16">
        <f t="shared" si="1"/>
        <v>6.969490814414403</v>
      </c>
      <c r="I16">
        <v>61.1</v>
      </c>
      <c r="J16">
        <v>28.450214144144098</v>
      </c>
      <c r="K16">
        <f t="shared" si="2"/>
        <v>13.04442318509007</v>
      </c>
      <c r="L16">
        <v>54.15</v>
      </c>
      <c r="M16">
        <v>1.23927149549549</v>
      </c>
      <c r="N16">
        <f t="shared" si="3"/>
        <v>0.25082855068828708</v>
      </c>
      <c r="O16">
        <v>79.760000000000005</v>
      </c>
      <c r="P16">
        <f t="shared" si="4"/>
        <v>3081.1581918108054</v>
      </c>
      <c r="Q16">
        <f t="shared" si="5"/>
        <v>8.5337853153152992</v>
      </c>
      <c r="R16">
        <f t="shared" si="6"/>
        <v>1.8228165433513479</v>
      </c>
      <c r="S16">
        <v>78.64</v>
      </c>
      <c r="T16">
        <f t="shared" si="9"/>
        <v>2.5910917683144672</v>
      </c>
      <c r="U16">
        <f t="shared" si="7"/>
        <v>1.0765604838907439</v>
      </c>
      <c r="V16">
        <f t="shared" si="8"/>
        <v>2.4068241469816272</v>
      </c>
      <c r="W16">
        <v>8.1044422497071693</v>
      </c>
      <c r="X16">
        <v>1</v>
      </c>
      <c r="Y16">
        <v>4</v>
      </c>
      <c r="Z16">
        <v>200</v>
      </c>
      <c r="AA16">
        <v>0.69054054054054104</v>
      </c>
    </row>
    <row r="17" spans="1:27" x14ac:dyDescent="0.25">
      <c r="A17" t="s">
        <v>42</v>
      </c>
      <c r="B17">
        <v>1208.73192982456</v>
      </c>
      <c r="C17">
        <v>8543.04819548872</v>
      </c>
      <c r="D17">
        <v>41.9106206766917</v>
      </c>
      <c r="E17">
        <f t="shared" si="0"/>
        <v>7.9839732389097691</v>
      </c>
      <c r="F17">
        <v>80.95</v>
      </c>
      <c r="G17">
        <v>8.8791736090225708</v>
      </c>
      <c r="H17">
        <f t="shared" si="1"/>
        <v>3.4539985339097803</v>
      </c>
      <c r="I17">
        <v>61.1</v>
      </c>
      <c r="J17">
        <v>13.909936228070199</v>
      </c>
      <c r="K17">
        <f t="shared" si="2"/>
        <v>6.377705760570187</v>
      </c>
      <c r="L17">
        <v>54.15</v>
      </c>
      <c r="M17">
        <v>0.645813253132832</v>
      </c>
      <c r="N17">
        <f t="shared" si="3"/>
        <v>0.13071260243408514</v>
      </c>
      <c r="O17">
        <v>79.760000000000005</v>
      </c>
      <c r="P17">
        <f t="shared" si="4"/>
        <v>1506.4460935000025</v>
      </c>
      <c r="Q17">
        <f t="shared" si="5"/>
        <v>3.0307626190476284</v>
      </c>
      <c r="R17">
        <f t="shared" si="6"/>
        <v>0.64737089542857351</v>
      </c>
      <c r="S17">
        <v>78.64</v>
      </c>
      <c r="T17">
        <f t="shared" si="9"/>
        <v>3.0129987650206638</v>
      </c>
      <c r="U17">
        <f t="shared" si="7"/>
        <v>1.2518566297414098</v>
      </c>
      <c r="V17">
        <f t="shared" si="8"/>
        <v>2.4068241469816276</v>
      </c>
      <c r="W17">
        <v>15.6097195010394</v>
      </c>
      <c r="X17">
        <v>1</v>
      </c>
      <c r="Y17">
        <v>4</v>
      </c>
      <c r="Z17">
        <v>200</v>
      </c>
      <c r="AA17">
        <v>0.459273182957393</v>
      </c>
    </row>
    <row r="18" spans="1:27" x14ac:dyDescent="0.25">
      <c r="A18" t="s">
        <v>43</v>
      </c>
      <c r="B18">
        <v>1121.9844144144099</v>
      </c>
      <c r="C18">
        <v>3925.32594594595</v>
      </c>
      <c r="D18">
        <v>28.511568648648598</v>
      </c>
      <c r="E18">
        <f t="shared" si="0"/>
        <v>5.4314538275675579</v>
      </c>
      <c r="F18">
        <v>80.95</v>
      </c>
      <c r="G18">
        <v>6.3355834234234099</v>
      </c>
      <c r="H18">
        <f t="shared" si="1"/>
        <v>2.4645419517117064</v>
      </c>
      <c r="I18">
        <v>61.1</v>
      </c>
      <c r="J18">
        <v>9.7932295495495598</v>
      </c>
      <c r="K18">
        <f t="shared" si="2"/>
        <v>4.4901957484684738</v>
      </c>
      <c r="L18">
        <v>54.15</v>
      </c>
      <c r="M18">
        <v>0.453831855855855</v>
      </c>
      <c r="N18">
        <f t="shared" si="3"/>
        <v>9.185556762522501E-2</v>
      </c>
      <c r="O18">
        <v>79.760000000000005</v>
      </c>
      <c r="P18">
        <f t="shared" si="4"/>
        <v>1060.6067602162173</v>
      </c>
      <c r="Q18">
        <f t="shared" si="5"/>
        <v>1.45764612612615</v>
      </c>
      <c r="R18">
        <f t="shared" si="6"/>
        <v>0.31135321254054565</v>
      </c>
      <c r="S18">
        <v>78.64</v>
      </c>
      <c r="T18">
        <f t="shared" si="9"/>
        <v>2.9113550851016239</v>
      </c>
      <c r="U18">
        <f t="shared" si="7"/>
        <v>1.2096251771251021</v>
      </c>
      <c r="V18">
        <f t="shared" si="8"/>
        <v>2.4068241469816276</v>
      </c>
      <c r="W18">
        <v>17.520499606115301</v>
      </c>
      <c r="X18">
        <v>1</v>
      </c>
      <c r="Y18">
        <v>4</v>
      </c>
      <c r="Z18">
        <v>200</v>
      </c>
      <c r="AA18">
        <v>0.27072072072072101</v>
      </c>
    </row>
    <row r="19" spans="1:27" x14ac:dyDescent="0.25">
      <c r="A19" t="s">
        <v>44</v>
      </c>
      <c r="B19">
        <v>1767.4808333333301</v>
      </c>
      <c r="C19">
        <v>10387.440416666699</v>
      </c>
      <c r="D19">
        <v>46.804871041666701</v>
      </c>
      <c r="E19">
        <f t="shared" si="0"/>
        <v>8.9163279334375058</v>
      </c>
      <c r="F19">
        <v>80.95</v>
      </c>
      <c r="G19">
        <v>10.3737655555556</v>
      </c>
      <c r="H19">
        <f t="shared" si="1"/>
        <v>4.0353948011111287</v>
      </c>
      <c r="I19">
        <v>61.1</v>
      </c>
      <c r="J19">
        <v>15.9205846527778</v>
      </c>
      <c r="K19">
        <f t="shared" si="2"/>
        <v>7.2995880632986214</v>
      </c>
      <c r="L19">
        <v>54.15</v>
      </c>
      <c r="M19">
        <v>0.77668188888888801</v>
      </c>
      <c r="N19">
        <f t="shared" si="3"/>
        <v>0.15720041431111087</v>
      </c>
      <c r="O19">
        <v>79.760000000000005</v>
      </c>
      <c r="P19">
        <f t="shared" si="4"/>
        <v>1724.1993178958357</v>
      </c>
      <c r="Q19">
        <f t="shared" si="5"/>
        <v>3.5468190972221993</v>
      </c>
      <c r="R19">
        <f t="shared" si="6"/>
        <v>0.7576005591666618</v>
      </c>
      <c r="S19">
        <v>78.64</v>
      </c>
      <c r="T19">
        <f t="shared" si="9"/>
        <v>2.9398964964204537</v>
      </c>
      <c r="U19">
        <f t="shared" si="7"/>
        <v>1.2214837133437217</v>
      </c>
      <c r="V19">
        <f t="shared" si="8"/>
        <v>2.4068241469816272</v>
      </c>
      <c r="W19">
        <v>9.9116264340120406</v>
      </c>
      <c r="X19">
        <v>1</v>
      </c>
      <c r="Y19">
        <v>4</v>
      </c>
      <c r="Z19">
        <v>200</v>
      </c>
      <c r="AA19">
        <v>0.47958333333333297</v>
      </c>
    </row>
    <row r="20" spans="1:27" x14ac:dyDescent="0.25">
      <c r="A20" t="s">
        <v>45</v>
      </c>
      <c r="B20">
        <v>1846.84324840764</v>
      </c>
      <c r="C20">
        <v>9711.0060509554096</v>
      </c>
      <c r="D20">
        <v>45.179926433120997</v>
      </c>
      <c r="E20">
        <f t="shared" si="0"/>
        <v>8.6067759855095503</v>
      </c>
      <c r="F20">
        <v>80.95</v>
      </c>
      <c r="G20">
        <v>9.1962821019108194</v>
      </c>
      <c r="H20">
        <f t="shared" si="1"/>
        <v>3.5773537376433087</v>
      </c>
      <c r="I20">
        <v>61.1</v>
      </c>
      <c r="J20">
        <v>14.5693193630573</v>
      </c>
      <c r="K20">
        <f t="shared" si="2"/>
        <v>6.6800329279617721</v>
      </c>
      <c r="L20">
        <v>54.15</v>
      </c>
      <c r="M20">
        <v>0.70337222929936305</v>
      </c>
      <c r="N20">
        <f t="shared" si="3"/>
        <v>0.14236253921019101</v>
      </c>
      <c r="O20">
        <v>79.760000000000005</v>
      </c>
      <c r="P20">
        <f t="shared" si="4"/>
        <v>1577.8572870191056</v>
      </c>
      <c r="Q20">
        <f t="shared" si="5"/>
        <v>3.3730372611464805</v>
      </c>
      <c r="R20">
        <f t="shared" si="6"/>
        <v>0.72048075898088826</v>
      </c>
      <c r="S20">
        <v>78.64</v>
      </c>
      <c r="T20">
        <f t="shared" si="9"/>
        <v>3.1010320597186918</v>
      </c>
      <c r="U20">
        <f t="shared" si="7"/>
        <v>1.2884331676693801</v>
      </c>
      <c r="V20">
        <f t="shared" si="8"/>
        <v>2.4068241469816272</v>
      </c>
      <c r="W20">
        <v>7.2182492979631299</v>
      </c>
      <c r="X20">
        <v>1</v>
      </c>
      <c r="Y20">
        <v>4</v>
      </c>
      <c r="Z20">
        <v>200</v>
      </c>
      <c r="AA20">
        <v>0.41726114649681501</v>
      </c>
    </row>
    <row r="21" spans="1:27" x14ac:dyDescent="0.25">
      <c r="A21" t="s">
        <v>46</v>
      </c>
      <c r="B21">
        <v>564.23333333333301</v>
      </c>
      <c r="C21">
        <v>2983.6945454545398</v>
      </c>
      <c r="D21">
        <v>57.6092204545455</v>
      </c>
      <c r="E21">
        <f t="shared" si="0"/>
        <v>10.974556496590917</v>
      </c>
      <c r="F21">
        <v>80.95</v>
      </c>
      <c r="G21">
        <v>16.583895151515101</v>
      </c>
      <c r="H21">
        <f t="shared" si="1"/>
        <v>6.4511352139393745</v>
      </c>
      <c r="I21">
        <v>61.1</v>
      </c>
      <c r="J21">
        <v>17.468016363636401</v>
      </c>
      <c r="K21">
        <f t="shared" si="2"/>
        <v>8.0090855027272898</v>
      </c>
      <c r="L21">
        <v>54.15</v>
      </c>
      <c r="M21">
        <v>0.90294933333333305</v>
      </c>
      <c r="N21">
        <f t="shared" si="3"/>
        <v>0.18275694506666654</v>
      </c>
      <c r="O21">
        <v>79.760000000000005</v>
      </c>
      <c r="P21">
        <f t="shared" si="4"/>
        <v>1891.7861721818222</v>
      </c>
      <c r="Q21">
        <f t="shared" si="5"/>
        <v>-1.1158787878786995</v>
      </c>
      <c r="R21">
        <f t="shared" si="6"/>
        <v>-0.23835170909089023</v>
      </c>
      <c r="S21">
        <v>78.64</v>
      </c>
      <c r="T21">
        <f t="shared" si="9"/>
        <v>3.2979829681446846</v>
      </c>
      <c r="U21">
        <f t="shared" si="7"/>
        <v>1.3702633706249998</v>
      </c>
      <c r="V21">
        <f t="shared" si="8"/>
        <v>2.4068241469816272</v>
      </c>
      <c r="W21">
        <v>9.7663144182880703</v>
      </c>
      <c r="X21">
        <v>1</v>
      </c>
      <c r="Y21">
        <v>4</v>
      </c>
      <c r="Z21">
        <v>200</v>
      </c>
      <c r="AA21">
        <v>0.37212121212121202</v>
      </c>
    </row>
    <row r="22" spans="1:27" x14ac:dyDescent="0.25">
      <c r="A22" t="s">
        <v>47</v>
      </c>
      <c r="B22">
        <v>672.44500000000005</v>
      </c>
      <c r="C22">
        <v>5597.0055769230803</v>
      </c>
      <c r="D22">
        <v>70.038167596153798</v>
      </c>
      <c r="E22">
        <f t="shared" si="0"/>
        <v>13.342270927067299</v>
      </c>
      <c r="F22">
        <v>80.95</v>
      </c>
      <c r="G22">
        <v>16.6215959615385</v>
      </c>
      <c r="H22">
        <f t="shared" si="1"/>
        <v>6.4658008290384767</v>
      </c>
      <c r="I22">
        <v>61.1</v>
      </c>
      <c r="J22">
        <v>23.498918557692299</v>
      </c>
      <c r="K22">
        <f t="shared" si="2"/>
        <v>10.77425415870192</v>
      </c>
      <c r="L22">
        <v>54.15</v>
      </c>
      <c r="M22">
        <v>1.24394261538462</v>
      </c>
      <c r="N22">
        <f t="shared" si="3"/>
        <v>0.25177398535384699</v>
      </c>
      <c r="O22">
        <v>79.760000000000005</v>
      </c>
      <c r="P22">
        <f t="shared" si="4"/>
        <v>2544.9328797980761</v>
      </c>
      <c r="Q22">
        <f t="shared" si="5"/>
        <v>4.8773225961537996</v>
      </c>
      <c r="R22">
        <f t="shared" si="6"/>
        <v>1.0417961065384516</v>
      </c>
      <c r="S22">
        <v>78.64</v>
      </c>
      <c r="T22">
        <f t="shared" si="9"/>
        <v>2.9804847156775653</v>
      </c>
      <c r="U22">
        <f t="shared" si="7"/>
        <v>1.238347520908563</v>
      </c>
      <c r="V22">
        <f t="shared" si="8"/>
        <v>2.4068241469816276</v>
      </c>
      <c r="W22">
        <v>6.8242842050356103</v>
      </c>
      <c r="X22">
        <v>1</v>
      </c>
      <c r="Y22">
        <v>4</v>
      </c>
      <c r="Z22">
        <v>200</v>
      </c>
      <c r="AA22">
        <v>0.66269230769230802</v>
      </c>
    </row>
    <row r="23" spans="1:27" x14ac:dyDescent="0.25">
      <c r="A23" t="s">
        <v>48</v>
      </c>
      <c r="B23">
        <v>600.017857142857</v>
      </c>
      <c r="C23">
        <v>6523.5466666666698</v>
      </c>
      <c r="D23">
        <v>75.869830238095204</v>
      </c>
      <c r="E23">
        <f t="shared" si="0"/>
        <v>14.453202660357137</v>
      </c>
      <c r="F23">
        <v>80.95</v>
      </c>
      <c r="G23">
        <v>17.186575714285699</v>
      </c>
      <c r="H23">
        <f t="shared" si="1"/>
        <v>6.6855779528571366</v>
      </c>
      <c r="I23">
        <v>61.1</v>
      </c>
      <c r="J23">
        <v>26.199381388888899</v>
      </c>
      <c r="K23">
        <f t="shared" si="2"/>
        <v>12.01241636680556</v>
      </c>
      <c r="L23">
        <v>54.15</v>
      </c>
      <c r="M23">
        <v>1.11464571428571</v>
      </c>
      <c r="N23">
        <f t="shared" si="3"/>
        <v>0.22560429257142761</v>
      </c>
      <c r="O23">
        <v>79.760000000000005</v>
      </c>
      <c r="P23">
        <f t="shared" si="4"/>
        <v>2837.3930044166682</v>
      </c>
      <c r="Q23">
        <f t="shared" si="5"/>
        <v>7.0128056746032001</v>
      </c>
      <c r="R23">
        <f t="shared" si="6"/>
        <v>1.4979352920952436</v>
      </c>
      <c r="S23">
        <v>78.64</v>
      </c>
      <c r="T23">
        <f t="shared" si="9"/>
        <v>2.8958634218085559</v>
      </c>
      <c r="U23">
        <f t="shared" si="7"/>
        <v>1.2031886190938494</v>
      </c>
      <c r="V23">
        <f t="shared" si="8"/>
        <v>2.4068241469816272</v>
      </c>
      <c r="W23">
        <v>12.482473181862</v>
      </c>
      <c r="X23">
        <v>1</v>
      </c>
      <c r="Y23">
        <v>4</v>
      </c>
      <c r="Z23">
        <v>200</v>
      </c>
      <c r="AA23">
        <v>0.57968253968254002</v>
      </c>
    </row>
    <row r="24" spans="1:27" x14ac:dyDescent="0.25">
      <c r="A24" t="s">
        <v>49</v>
      </c>
      <c r="B24">
        <v>1746.3995026178</v>
      </c>
      <c r="C24">
        <v>13621.0986387435</v>
      </c>
      <c r="D24">
        <v>50.334603180628399</v>
      </c>
      <c r="E24">
        <f t="shared" si="0"/>
        <v>9.5887419059097105</v>
      </c>
      <c r="F24">
        <v>80.95</v>
      </c>
      <c r="G24">
        <v>11.8700295026178</v>
      </c>
      <c r="H24">
        <f t="shared" si="1"/>
        <v>4.6174414765183247</v>
      </c>
      <c r="I24">
        <v>61.1</v>
      </c>
      <c r="J24">
        <v>18.5935913089005</v>
      </c>
      <c r="K24">
        <f t="shared" si="2"/>
        <v>8.5251616151308802</v>
      </c>
      <c r="L24">
        <v>54.15</v>
      </c>
      <c r="M24">
        <v>0.94651141361256597</v>
      </c>
      <c r="N24">
        <f t="shared" si="3"/>
        <v>0.19157391011518327</v>
      </c>
      <c r="O24">
        <v>79.760000000000005</v>
      </c>
      <c r="P24">
        <f t="shared" si="4"/>
        <v>2013.6859387539239</v>
      </c>
      <c r="Q24">
        <f t="shared" si="5"/>
        <v>4.7235618062826994</v>
      </c>
      <c r="R24">
        <f t="shared" si="6"/>
        <v>1.0089528018219847</v>
      </c>
      <c r="S24">
        <v>78.64</v>
      </c>
      <c r="T24">
        <f t="shared" si="9"/>
        <v>2.7070941995231395</v>
      </c>
      <c r="U24">
        <f t="shared" si="7"/>
        <v>1.1247577862795157</v>
      </c>
      <c r="V24">
        <f t="shared" si="8"/>
        <v>2.4068241469816276</v>
      </c>
      <c r="W24">
        <v>13.6838495390083</v>
      </c>
      <c r="X24">
        <v>1</v>
      </c>
      <c r="Y24">
        <v>4</v>
      </c>
      <c r="Z24">
        <v>200</v>
      </c>
      <c r="AA24">
        <v>0.428062827225131</v>
      </c>
    </row>
    <row r="25" spans="1:27" x14ac:dyDescent="0.25">
      <c r="A25" t="s">
        <v>50</v>
      </c>
      <c r="B25">
        <v>6777.6868181818199</v>
      </c>
      <c r="C25">
        <v>32858.055909090901</v>
      </c>
      <c r="D25">
        <v>55.593268636363703</v>
      </c>
      <c r="E25">
        <f t="shared" si="0"/>
        <v>10.590517675227286</v>
      </c>
      <c r="F25">
        <v>80.95</v>
      </c>
      <c r="G25">
        <v>8.1989706818181993</v>
      </c>
      <c r="H25">
        <f t="shared" si="1"/>
        <v>3.1893995952272798</v>
      </c>
      <c r="I25">
        <v>61.1</v>
      </c>
      <c r="J25">
        <v>14.13440875</v>
      </c>
      <c r="K25">
        <f t="shared" si="2"/>
        <v>6.4806264118750008</v>
      </c>
      <c r="L25">
        <v>54.15</v>
      </c>
      <c r="M25">
        <v>0.92929200000000001</v>
      </c>
      <c r="N25">
        <f t="shared" si="3"/>
        <v>0.18808870079999992</v>
      </c>
      <c r="O25">
        <v>79.760000000000005</v>
      </c>
      <c r="P25">
        <f t="shared" si="4"/>
        <v>1530.7564676249999</v>
      </c>
      <c r="Q25">
        <f t="shared" si="5"/>
        <v>3.9354380681818011</v>
      </c>
      <c r="R25">
        <f t="shared" si="6"/>
        <v>0.84060957136363279</v>
      </c>
      <c r="S25">
        <v>78.64</v>
      </c>
      <c r="T25">
        <f t="shared" si="9"/>
        <v>3.9331867090912946</v>
      </c>
      <c r="U25">
        <f t="shared" si="7"/>
        <v>1.6341811735701017</v>
      </c>
      <c r="V25">
        <f t="shared" si="8"/>
        <v>2.4068241469816272</v>
      </c>
      <c r="W25">
        <v>16.459055749996001</v>
      </c>
      <c r="X25">
        <v>1</v>
      </c>
      <c r="Y25">
        <v>4</v>
      </c>
      <c r="Z25">
        <v>200</v>
      </c>
      <c r="AA25">
        <v>0.49022727272727301</v>
      </c>
    </row>
    <row r="26" spans="1:27" x14ac:dyDescent="0.25">
      <c r="A26" t="s">
        <v>51</v>
      </c>
      <c r="B26">
        <v>874.70122137404599</v>
      </c>
      <c r="C26">
        <v>7672.3316030534297</v>
      </c>
      <c r="D26">
        <v>59.283614541984797</v>
      </c>
      <c r="E26">
        <f t="shared" si="0"/>
        <v>11.293528570248103</v>
      </c>
      <c r="F26">
        <v>80.95</v>
      </c>
      <c r="G26">
        <v>14.0290029007634</v>
      </c>
      <c r="H26">
        <f t="shared" si="1"/>
        <v>5.4572821283969626</v>
      </c>
      <c r="I26">
        <v>61.1</v>
      </c>
      <c r="J26">
        <v>22.741285000000001</v>
      </c>
      <c r="K26">
        <f t="shared" si="2"/>
        <v>10.426879172500001</v>
      </c>
      <c r="L26">
        <v>54.15</v>
      </c>
      <c r="M26">
        <v>0.82888207633587796</v>
      </c>
      <c r="N26">
        <f t="shared" si="3"/>
        <v>0.16776573225038163</v>
      </c>
      <c r="O26">
        <v>79.760000000000005</v>
      </c>
      <c r="P26">
        <f t="shared" si="4"/>
        <v>2462.8811655</v>
      </c>
      <c r="Q26">
        <f t="shared" si="5"/>
        <v>6.7122820992366012</v>
      </c>
      <c r="R26">
        <f t="shared" si="6"/>
        <v>1.433743456396938</v>
      </c>
      <c r="S26">
        <v>78.64</v>
      </c>
      <c r="T26">
        <f t="shared" si="9"/>
        <v>2.6068717991083088</v>
      </c>
      <c r="U26">
        <f t="shared" si="7"/>
        <v>1.0831168543732448</v>
      </c>
      <c r="V26">
        <f t="shared" si="8"/>
        <v>2.4068241469816276</v>
      </c>
      <c r="W26">
        <v>11.322657140258</v>
      </c>
      <c r="X26">
        <v>1</v>
      </c>
      <c r="Y26">
        <v>4</v>
      </c>
      <c r="Z26">
        <v>200</v>
      </c>
      <c r="AA26">
        <v>0.59351145038167896</v>
      </c>
    </row>
    <row r="27" spans="1:27" x14ac:dyDescent="0.25">
      <c r="A27" t="s">
        <v>52</v>
      </c>
      <c r="B27">
        <v>498.46366445916101</v>
      </c>
      <c r="C27">
        <v>2303.26801324503</v>
      </c>
      <c r="D27">
        <v>28.846506655629</v>
      </c>
      <c r="E27">
        <f t="shared" si="0"/>
        <v>5.4952595178973249</v>
      </c>
      <c r="F27">
        <v>80.95</v>
      </c>
      <c r="G27">
        <v>7.9464713907284601</v>
      </c>
      <c r="H27">
        <f t="shared" si="1"/>
        <v>3.0911773709933712</v>
      </c>
      <c r="I27">
        <v>61.1</v>
      </c>
      <c r="J27">
        <v>12.4844286865342</v>
      </c>
      <c r="K27">
        <f t="shared" si="2"/>
        <v>5.7241105527759304</v>
      </c>
      <c r="L27">
        <v>54.15</v>
      </c>
      <c r="M27">
        <v>0.52626680794702096</v>
      </c>
      <c r="N27">
        <f t="shared" si="3"/>
        <v>0.106516401928477</v>
      </c>
      <c r="O27">
        <v>79.760000000000005</v>
      </c>
      <c r="P27">
        <f t="shared" si="4"/>
        <v>1352.0636267516538</v>
      </c>
      <c r="Q27">
        <f t="shared" si="5"/>
        <v>2.5379572958057395</v>
      </c>
      <c r="R27">
        <f t="shared" si="6"/>
        <v>0.54210767838410601</v>
      </c>
      <c r="S27">
        <v>78.64</v>
      </c>
      <c r="T27">
        <f t="shared" si="9"/>
        <v>2.3105988571782272</v>
      </c>
      <c r="U27">
        <f t="shared" si="7"/>
        <v>0.9600198087076387</v>
      </c>
      <c r="V27">
        <f t="shared" si="8"/>
        <v>2.4068241469816272</v>
      </c>
      <c r="W27">
        <v>13.715157271903101</v>
      </c>
      <c r="X27">
        <v>1</v>
      </c>
      <c r="Y27">
        <v>4</v>
      </c>
      <c r="Z27">
        <v>200</v>
      </c>
      <c r="AA27">
        <v>0.48527593818984499</v>
      </c>
    </row>
    <row r="28" spans="1:27" x14ac:dyDescent="0.25">
      <c r="A28" t="s">
        <v>53</v>
      </c>
      <c r="B28">
        <v>2472.34227272727</v>
      </c>
      <c r="C28">
        <v>17313.119772727299</v>
      </c>
      <c r="D28">
        <v>53.419923409090998</v>
      </c>
      <c r="E28">
        <f t="shared" si="0"/>
        <v>10.176495409431835</v>
      </c>
      <c r="F28">
        <v>80.95</v>
      </c>
      <c r="G28">
        <v>12.1846293181818</v>
      </c>
      <c r="H28">
        <f t="shared" si="1"/>
        <v>4.7398208047727204</v>
      </c>
      <c r="I28">
        <v>61.1</v>
      </c>
      <c r="J28">
        <v>19.3721460227273</v>
      </c>
      <c r="K28">
        <f t="shared" si="2"/>
        <v>8.8821289514204675</v>
      </c>
      <c r="L28">
        <v>54.15</v>
      </c>
      <c r="M28">
        <v>1.006848</v>
      </c>
      <c r="N28">
        <f t="shared" si="3"/>
        <v>0.20378603519999991</v>
      </c>
      <c r="O28">
        <v>79.760000000000005</v>
      </c>
      <c r="P28">
        <f t="shared" si="4"/>
        <v>2098.0034142613667</v>
      </c>
      <c r="Q28">
        <f t="shared" si="5"/>
        <v>5.1875167045454997</v>
      </c>
      <c r="R28">
        <f t="shared" si="6"/>
        <v>1.1080535680909187</v>
      </c>
      <c r="S28">
        <v>78.64</v>
      </c>
      <c r="T28">
        <f t="shared" si="9"/>
        <v>2.7575635320123557</v>
      </c>
      <c r="U28">
        <f t="shared" si="7"/>
        <v>1.145727050923345</v>
      </c>
      <c r="V28">
        <f t="shared" si="8"/>
        <v>2.4068241469816276</v>
      </c>
      <c r="W28">
        <v>13.098203886516901</v>
      </c>
      <c r="X28">
        <v>1</v>
      </c>
      <c r="Y28">
        <v>4</v>
      </c>
      <c r="Z28">
        <v>200</v>
      </c>
      <c r="AA28">
        <v>0.49772727272727302</v>
      </c>
    </row>
    <row r="29" spans="1:27" x14ac:dyDescent="0.25">
      <c r="A29" t="s">
        <v>54</v>
      </c>
      <c r="B29">
        <v>681.30928571428603</v>
      </c>
      <c r="C29">
        <v>4686.7392857142904</v>
      </c>
      <c r="D29">
        <v>41.399187857142799</v>
      </c>
      <c r="E29">
        <f t="shared" si="0"/>
        <v>7.8865452867857035</v>
      </c>
      <c r="F29">
        <v>80.95</v>
      </c>
      <c r="G29">
        <v>13.074567857142901</v>
      </c>
      <c r="H29">
        <f t="shared" si="1"/>
        <v>5.0860068964285885</v>
      </c>
      <c r="I29">
        <v>61.1</v>
      </c>
      <c r="J29">
        <v>18.0141375</v>
      </c>
      <c r="K29">
        <f t="shared" si="2"/>
        <v>8.2594820437500012</v>
      </c>
      <c r="L29">
        <v>54.15</v>
      </c>
      <c r="M29">
        <v>0.75018114285714199</v>
      </c>
      <c r="N29">
        <f t="shared" si="3"/>
        <v>0.15183666331428547</v>
      </c>
      <c r="O29">
        <v>79.760000000000005</v>
      </c>
      <c r="P29">
        <f t="shared" si="4"/>
        <v>1950.9310912499998</v>
      </c>
      <c r="Q29">
        <f t="shared" si="5"/>
        <v>2.9395696428570997</v>
      </c>
      <c r="R29">
        <f t="shared" si="6"/>
        <v>0.62789207571427652</v>
      </c>
      <c r="S29">
        <v>78.64</v>
      </c>
      <c r="T29">
        <f t="shared" si="9"/>
        <v>2.2981498757374754</v>
      </c>
      <c r="U29">
        <f t="shared" si="7"/>
        <v>0.95484744019190637</v>
      </c>
      <c r="V29">
        <f t="shared" si="8"/>
        <v>2.4068241469816272</v>
      </c>
      <c r="W29">
        <v>8.1859396561838391</v>
      </c>
      <c r="X29">
        <v>1</v>
      </c>
      <c r="Y29">
        <v>4</v>
      </c>
      <c r="Z29">
        <v>200</v>
      </c>
      <c r="AA29">
        <v>0.49214285714285699</v>
      </c>
    </row>
    <row r="30" spans="1:27" x14ac:dyDescent="0.25">
      <c r="A30" t="s">
        <v>55</v>
      </c>
      <c r="B30">
        <v>311.87259259259298</v>
      </c>
      <c r="C30">
        <v>1333.35481481481</v>
      </c>
      <c r="D30">
        <v>48.394690555555499</v>
      </c>
      <c r="E30">
        <f t="shared" si="0"/>
        <v>9.2191885508333229</v>
      </c>
      <c r="F30">
        <v>80.95</v>
      </c>
      <c r="G30">
        <v>12.1611485185185</v>
      </c>
      <c r="H30">
        <f t="shared" si="1"/>
        <v>4.7306867737036971</v>
      </c>
      <c r="I30">
        <v>61.1</v>
      </c>
      <c r="J30">
        <v>18.176638148148101</v>
      </c>
      <c r="K30">
        <f t="shared" si="2"/>
        <v>8.3339885909259053</v>
      </c>
      <c r="L30">
        <v>54.15</v>
      </c>
      <c r="M30">
        <v>0.823992888888888</v>
      </c>
      <c r="N30">
        <f t="shared" si="3"/>
        <v>0.16677616071111087</v>
      </c>
      <c r="O30">
        <v>79.760000000000005</v>
      </c>
      <c r="P30">
        <f t="shared" si="4"/>
        <v>1968.5299114444392</v>
      </c>
      <c r="Q30">
        <f t="shared" si="5"/>
        <v>4.0154896296296005</v>
      </c>
      <c r="R30">
        <f t="shared" si="6"/>
        <v>0.85770858488888269</v>
      </c>
      <c r="S30">
        <v>78.64</v>
      </c>
      <c r="T30">
        <f t="shared" si="9"/>
        <v>2.6624665221982271</v>
      </c>
      <c r="U30">
        <f t="shared" si="7"/>
        <v>1.106215643356079</v>
      </c>
      <c r="V30">
        <f t="shared" si="8"/>
        <v>2.4068241469816276</v>
      </c>
      <c r="W30">
        <v>9.3995745047360799</v>
      </c>
      <c r="X30">
        <v>1</v>
      </c>
      <c r="Y30">
        <v>4</v>
      </c>
      <c r="Z30">
        <v>200</v>
      </c>
      <c r="AA30">
        <v>0.60666666666666702</v>
      </c>
    </row>
    <row r="31" spans="1:27" x14ac:dyDescent="0.25">
      <c r="A31" t="s">
        <v>56</v>
      </c>
      <c r="B31">
        <v>1167.24103896104</v>
      </c>
      <c r="C31">
        <v>8413.5051298701292</v>
      </c>
      <c r="D31">
        <v>49.523988116883203</v>
      </c>
      <c r="E31">
        <f t="shared" si="0"/>
        <v>9.4343197362662501</v>
      </c>
      <c r="F31">
        <v>80.95</v>
      </c>
      <c r="G31">
        <v>12.419304935064901</v>
      </c>
      <c r="H31">
        <f t="shared" si="1"/>
        <v>4.8311096197402463</v>
      </c>
      <c r="I31">
        <v>61.1</v>
      </c>
      <c r="J31">
        <v>17.370957272727299</v>
      </c>
      <c r="K31">
        <f t="shared" si="2"/>
        <v>7.9645839095454667</v>
      </c>
      <c r="L31">
        <v>54.15</v>
      </c>
      <c r="M31">
        <v>0.91217999999999899</v>
      </c>
      <c r="N31">
        <f t="shared" si="3"/>
        <v>0.18462523199999972</v>
      </c>
      <c r="O31">
        <v>79.760000000000005</v>
      </c>
      <c r="P31">
        <f t="shared" si="4"/>
        <v>1881.2746726363664</v>
      </c>
      <c r="Q31">
        <f t="shared" si="5"/>
        <v>2.9516523376623987</v>
      </c>
      <c r="R31">
        <f t="shared" si="6"/>
        <v>0.6304729393246884</v>
      </c>
      <c r="S31">
        <v>78.64</v>
      </c>
      <c r="T31">
        <f t="shared" si="9"/>
        <v>2.8509648224532054</v>
      </c>
      <c r="U31">
        <f t="shared" si="7"/>
        <v>1.1845339120552576</v>
      </c>
      <c r="V31">
        <f t="shared" si="8"/>
        <v>2.4068241469816272</v>
      </c>
      <c r="W31">
        <v>16.065873842673199</v>
      </c>
      <c r="X31">
        <v>1</v>
      </c>
      <c r="Y31">
        <v>4</v>
      </c>
      <c r="Z31">
        <v>200</v>
      </c>
      <c r="AA31">
        <v>0.36584415584415603</v>
      </c>
    </row>
    <row r="32" spans="1:27" x14ac:dyDescent="0.25">
      <c r="A32" t="s">
        <v>57</v>
      </c>
      <c r="B32">
        <v>1469.0946830985899</v>
      </c>
      <c r="C32">
        <v>11929.548415493</v>
      </c>
      <c r="D32">
        <v>37.425321443662</v>
      </c>
      <c r="E32">
        <f t="shared" si="0"/>
        <v>7.1295237350176111</v>
      </c>
      <c r="F32">
        <v>80.95</v>
      </c>
      <c r="G32">
        <v>7.2773818661972003</v>
      </c>
      <c r="H32">
        <f t="shared" si="1"/>
        <v>2.8309015459507112</v>
      </c>
      <c r="I32">
        <v>61.1</v>
      </c>
      <c r="J32">
        <v>11.794751056338001</v>
      </c>
      <c r="K32">
        <f t="shared" si="2"/>
        <v>5.4078933593309735</v>
      </c>
      <c r="L32">
        <v>54.15</v>
      </c>
      <c r="M32">
        <v>0.55220991549295795</v>
      </c>
      <c r="N32">
        <f t="shared" si="3"/>
        <v>0.11176728689577464</v>
      </c>
      <c r="O32">
        <v>79.760000000000005</v>
      </c>
      <c r="P32">
        <f t="shared" si="4"/>
        <v>1277.3715394014055</v>
      </c>
      <c r="Q32">
        <f t="shared" si="5"/>
        <v>2.5173691901408004</v>
      </c>
      <c r="R32">
        <f t="shared" si="6"/>
        <v>0.53771005901407498</v>
      </c>
      <c r="S32">
        <v>78.64</v>
      </c>
      <c r="T32">
        <f t="shared" si="9"/>
        <v>3.1730488642701125</v>
      </c>
      <c r="U32">
        <f t="shared" si="7"/>
        <v>1.3183550897349103</v>
      </c>
      <c r="V32">
        <f t="shared" si="8"/>
        <v>2.4068241469816276</v>
      </c>
      <c r="W32">
        <v>17.123971022235899</v>
      </c>
      <c r="X32">
        <v>1</v>
      </c>
      <c r="Y32">
        <v>4</v>
      </c>
      <c r="Z32">
        <v>200</v>
      </c>
      <c r="AA32">
        <v>0.43355633802816901</v>
      </c>
    </row>
  </sheetData>
  <phoneticPr fontId="3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各年省份均值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JingJ Wang</cp:lastModifiedBy>
  <dcterms:created xsi:type="dcterms:W3CDTF">2025-12-30T01:26:00Z</dcterms:created>
  <dcterms:modified xsi:type="dcterms:W3CDTF">2026-04-18T08:07:04Z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72B1A55585EC42C8A139BCBBC91D07FF_12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